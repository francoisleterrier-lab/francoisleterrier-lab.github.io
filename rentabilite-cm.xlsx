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abilit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&quot; €/h&quot;"/>
    <numFmt numFmtId="166" formatCode="#,##0&quot; €&quot;"/>
    <numFmt numFmtId="167" formatCode="0.0&quot; h&quot;"/>
  </numFmts>
  <fonts count="14">
    <font>
      <name val="Calibri"/>
      <family val="2"/>
      <color theme="1"/>
      <sz val="11"/>
      <scheme val="minor"/>
    </font>
    <font>
      <name val="Arial"/>
      <b val="1"/>
      <color rgb="FFFFFFFF"/>
      <sz val="15"/>
    </font>
    <font>
      <name val="Arial"/>
      <i val="1"/>
      <color rgb="FF5B6068"/>
      <sz val="10"/>
    </font>
    <font>
      <name val="Arial"/>
      <b val="1"/>
      <color rgb="FF0F1115"/>
      <sz val="12"/>
    </font>
    <font>
      <name val="Arial"/>
      <color rgb="FF000000"/>
      <sz val="11"/>
    </font>
    <font>
      <name val="Arial"/>
      <b val="1"/>
      <color rgb="FF0000FF"/>
      <sz val="11"/>
    </font>
    <font>
      <name val="Arial"/>
      <color rgb="FF5B6068"/>
      <sz val="11"/>
    </font>
    <font>
      <name val="Arial"/>
      <b val="1"/>
      <color rgb="FF000000"/>
      <sz val="11"/>
    </font>
    <font>
      <name val="Arial"/>
      <b val="1"/>
      <color rgb="FFFFFFFF"/>
      <sz val="10"/>
    </font>
    <font>
      <name val="Arial"/>
      <color rgb="FF5B6068"/>
      <sz val="10"/>
    </font>
    <font>
      <name val="Arial"/>
      <color rgb="FF0000FF"/>
      <sz val="11"/>
    </font>
    <font>
      <name val="Arial"/>
      <color rgb="FF000000"/>
      <sz val="10"/>
    </font>
    <font>
      <name val="Arial"/>
      <i val="1"/>
      <color rgb="FF5B6068"/>
      <sz val="9"/>
    </font>
    <font>
      <name val="Arial"/>
      <b val="1"/>
      <color rgb="FF5B6068"/>
      <sz val="10"/>
    </font>
  </fonts>
  <fills count="6">
    <fill>
      <patternFill/>
    </fill>
    <fill>
      <patternFill patternType="gray125"/>
    </fill>
    <fill>
      <patternFill patternType="solid">
        <fgColor rgb="FF0F1115"/>
      </patternFill>
    </fill>
    <fill>
      <patternFill patternType="solid">
        <fgColor rgb="FFFFFF00"/>
      </patternFill>
    </fill>
    <fill>
      <patternFill patternType="solid">
        <fgColor rgb="FF10B981"/>
      </patternFill>
    </fill>
    <fill>
      <patternFill patternType="solid">
        <fgColor rgb="FFFFF3D6"/>
      </patternFill>
    </fill>
  </fills>
  <borders count="6">
    <border>
      <left/>
      <right/>
      <top/>
      <bottom/>
      <diagonal/>
    </border>
    <border>
      <left style="thin">
        <color rgb="FFE6E8EC"/>
      </left>
      <right style="thin">
        <color rgb="FFE6E8EC"/>
      </right>
      <top style="thin">
        <color rgb="FFE6E8EC"/>
      </top>
      <bottom style="thin">
        <color rgb="FFE6E8EC"/>
      </bottom>
    </border>
    <border>
      <left/>
      <right/>
      <top style="thin">
        <color rgb="FFE6E8EC"/>
      </top>
      <bottom/>
      <diagonal/>
    </border>
    <border>
      <left/>
      <right style="thin">
        <color rgb="FFE6E8EC"/>
      </right>
      <top style="thin">
        <color rgb="FFE6E8EC"/>
      </top>
      <bottom/>
      <diagonal/>
    </border>
    <border>
      <left/>
      <right/>
      <top style="thin">
        <color rgb="FFE6E8EC"/>
      </top>
      <bottom style="thin">
        <color rgb="FFE6E8EC"/>
      </bottom>
      <diagonal/>
    </border>
    <border>
      <left/>
      <right style="thin">
        <color rgb="FFE6E8EC"/>
      </right>
      <top style="thin">
        <color rgb="FFE6E8EC"/>
      </top>
      <bottom style="thin">
        <color rgb="FFE6E8EC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0" applyAlignment="1" pivotButton="0" quotePrefix="0" xfId="0">
      <alignment horizontal="left" vertical="center"/>
    </xf>
    <xf numFmtId="164" fontId="7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6" fontId="9" fillId="0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7" fontId="10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Note</author>
  </authors>
  <commentList>
    <comment ref="B5" authorId="0" shapeId="0">
      <text>
        <t>Community management ET création de site = activité libérale = BNC.
Choisis BIC seulement si l'URSSAF t'a bien classé en 'prestation de service commerciale'.</t>
      </text>
    </comment>
    <comment ref="B7" authorId="0" shapeId="0">
      <text>
        <t>~50-60% du temps freelance est facturé. Le reste (prospection, devis, compta) n'est pas payé.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0" customWidth="1" min="4" max="4"/>
    <col width="16" customWidth="1" min="5" max="5"/>
    <col width="10" customWidth="1" min="6" max="6"/>
    <col width="15" customWidth="1" min="7" max="7"/>
    <col width="14" customWidth="1" min="8" max="8"/>
    <col width="14" customWidth="1" min="9" max="9"/>
  </cols>
  <sheetData>
    <row r="1" ht="30" customHeight="1">
      <c r="A1" s="1" t="inlineStr">
        <is>
          <t>Calculateur de rentabilité — François Leterrier · Community Manager &amp; Web</t>
        </is>
      </c>
    </row>
    <row r="2">
      <c r="A2" s="2" t="inlineStr">
        <is>
          <t>Choisis ton régime fiscal (menu déroulant) et modifie les cellules BLEUES. Tout se recalcule automatiquement.</t>
        </is>
      </c>
    </row>
    <row r="4">
      <c r="A4" s="3" t="inlineStr">
        <is>
          <t>Hypothèses</t>
        </is>
      </c>
    </row>
    <row r="5">
      <c r="A5" s="4" t="inlineStr">
        <is>
          <t>Régime fiscal (menu déroulant)</t>
        </is>
      </c>
      <c r="B5" s="5" t="inlineStr">
        <is>
          <t>BNC 2026 — libéral (28,5 %)</t>
        </is>
      </c>
      <c r="C5" s="6" t="n"/>
      <c r="D5" s="7" t="n"/>
    </row>
    <row r="6">
      <c r="A6" s="8" t="inlineStr">
        <is>
          <t>→ Prélèvement total appliqué</t>
        </is>
      </c>
      <c r="B6" s="9">
        <f>VLOOKUP(B5,$A$26:$B$28,2,FALSE)</f>
        <v/>
      </c>
    </row>
    <row r="7">
      <c r="A7" s="4" t="inlineStr">
        <is>
          <t>Part de ton temps réellement facturable</t>
        </is>
      </c>
      <c r="B7" s="10" t="n">
        <v>0.55</v>
      </c>
    </row>
    <row r="8">
      <c r="A8" s="4" t="inlineStr">
        <is>
          <t>Objectif € / h facturé (repère)</t>
        </is>
      </c>
      <c r="B8" s="11" t="n">
        <v>30</v>
      </c>
    </row>
    <row r="10" ht="30" customHeight="1">
      <c r="A10" s="12" t="inlineStr">
        <is>
          <t>Formule</t>
        </is>
      </c>
      <c r="B10" s="12" t="inlineStr">
        <is>
          <t>Ancien prix</t>
        </is>
      </c>
      <c r="C10" s="12" t="inlineStr">
        <is>
          <t>Nouveau prix</t>
        </is>
      </c>
      <c r="D10" s="12" t="inlineStr">
        <is>
          <t>Base</t>
        </is>
      </c>
      <c r="E10" s="12" t="inlineStr">
        <is>
          <t>Net après prélèv.</t>
        </is>
      </c>
      <c r="F10" s="12" t="inlineStr">
        <is>
          <t>Temps</t>
        </is>
      </c>
      <c r="G10" s="12" t="inlineStr">
        <is>
          <t>€ / h facturé</t>
        </is>
      </c>
      <c r="H10" s="12" t="inlineStr">
        <is>
          <t>€ / h réel*</t>
        </is>
      </c>
      <c r="I10" s="12" t="inlineStr">
        <is>
          <t>≥ objectif ?</t>
        </is>
      </c>
    </row>
    <row r="11">
      <c r="A11" s="13" t="inlineStr">
        <is>
          <t>Essentiel</t>
        </is>
      </c>
      <c r="B11" s="14" t="n">
        <v>150</v>
      </c>
      <c r="C11" s="15" t="n">
        <v>180</v>
      </c>
      <c r="D11" s="16" t="inlineStr">
        <is>
          <t>/ mois</t>
        </is>
      </c>
      <c r="E11" s="17">
        <f>C11*(1-$B$6)</f>
        <v/>
      </c>
      <c r="F11" s="18" t="n">
        <v>4</v>
      </c>
      <c r="G11" s="19">
        <f>E11/F11</f>
        <v/>
      </c>
      <c r="H11" s="19">
        <f>G11*$B$7</f>
        <v/>
      </c>
      <c r="I11" s="20">
        <f>IF(G11&gt;=$B$8,"✓ oui","✗ non")</f>
        <v/>
      </c>
    </row>
    <row r="12">
      <c r="A12" s="13" t="inlineStr">
        <is>
          <t>Croissance  (offre phare)</t>
        </is>
      </c>
      <c r="B12" s="14" t="n">
        <v>250</v>
      </c>
      <c r="C12" s="15" t="n">
        <v>350</v>
      </c>
      <c r="D12" s="16" t="inlineStr">
        <is>
          <t>/ mois</t>
        </is>
      </c>
      <c r="E12" s="17">
        <f>C12*(1-$B$6)</f>
        <v/>
      </c>
      <c r="F12" s="18" t="n">
        <v>9</v>
      </c>
      <c r="G12" s="19">
        <f>E12/F12</f>
        <v/>
      </c>
      <c r="H12" s="19">
        <f>G12*$B$7</f>
        <v/>
      </c>
      <c r="I12" s="20">
        <f>IF(G12&gt;=$B$8,"✓ oui","✗ non")</f>
        <v/>
      </c>
    </row>
    <row r="13">
      <c r="A13" s="13" t="inlineStr">
        <is>
          <t>Premium</t>
        </is>
      </c>
      <c r="B13" s="14" t="n">
        <v>490</v>
      </c>
      <c r="C13" s="15" t="n">
        <v>520</v>
      </c>
      <c r="D13" s="16" t="inlineStr">
        <is>
          <t>/ mois</t>
        </is>
      </c>
      <c r="E13" s="17">
        <f>C13*(1-$B$6)</f>
        <v/>
      </c>
      <c r="F13" s="18" t="n">
        <v>13.5</v>
      </c>
      <c r="G13" s="19">
        <f>E13/F13</f>
        <v/>
      </c>
      <c r="H13" s="19">
        <f>G13*$B$7</f>
        <v/>
      </c>
      <c r="I13" s="20">
        <f>IF(G13&gt;=$B$8,"✓ oui","✗ non")</f>
        <v/>
      </c>
    </row>
    <row r="14">
      <c r="A14" s="13" t="inlineStr">
        <is>
          <t>Site Express</t>
        </is>
      </c>
      <c r="B14" s="14" t="n">
        <v>490</v>
      </c>
      <c r="C14" s="15" t="n">
        <v>590</v>
      </c>
      <c r="D14" s="16" t="inlineStr">
        <is>
          <t>/ projet</t>
        </is>
      </c>
      <c r="E14" s="17">
        <f>C14*(1-$B$6)</f>
        <v/>
      </c>
      <c r="F14" s="18" t="n">
        <v>11</v>
      </c>
      <c r="G14" s="19">
        <f>E14/F14</f>
        <v/>
      </c>
      <c r="H14" s="19">
        <f>G14*$B$7</f>
        <v/>
      </c>
      <c r="I14" s="20">
        <f>IF(G14&gt;=$B$8,"✓ oui","✗ non")</f>
        <v/>
      </c>
    </row>
    <row r="15">
      <c r="A15" s="13" t="inlineStr">
        <is>
          <t>Site Vitrine</t>
        </is>
      </c>
      <c r="B15" s="14" t="n">
        <v>1200</v>
      </c>
      <c r="C15" s="15" t="n">
        <v>1400</v>
      </c>
      <c r="D15" s="16" t="inlineStr">
        <is>
          <t>/ projet</t>
        </is>
      </c>
      <c r="E15" s="17">
        <f>C15*(1-$B$6)</f>
        <v/>
      </c>
      <c r="F15" s="18" t="n">
        <v>25</v>
      </c>
      <c r="G15" s="19">
        <f>E15/F15</f>
        <v/>
      </c>
      <c r="H15" s="19">
        <f>G15*$B$7</f>
        <v/>
      </c>
      <c r="I15" s="20">
        <f>IF(G15&gt;=$B$8,"✓ oui","✗ non")</f>
        <v/>
      </c>
    </row>
    <row r="16">
      <c r="A16" s="13" t="inlineStr">
        <is>
          <t>Sur-mesure (mini)</t>
        </is>
      </c>
      <c r="B16" s="14" t="n"/>
      <c r="C16" s="15" t="n">
        <v>2500</v>
      </c>
      <c r="D16" s="16" t="inlineStr">
        <is>
          <t>/ projet</t>
        </is>
      </c>
      <c r="E16" s="17">
        <f>C16*(1-$B$6)</f>
        <v/>
      </c>
      <c r="F16" s="18" t="n">
        <v>60</v>
      </c>
      <c r="G16" s="19">
        <f>E16/F16</f>
        <v/>
      </c>
      <c r="H16" s="19">
        <f>G16*$B$7</f>
        <v/>
      </c>
      <c r="I16" s="20">
        <f>IF(G16&gt;=$B$8,"✓ oui","✗ non")</f>
        <v/>
      </c>
    </row>
    <row r="18">
      <c r="A18" s="21" t="inlineStr">
        <is>
          <t>* € / h réel = € / h facturé × part du temps facturable : ton vrai revenu horaire, temps non payé compris.</t>
        </is>
      </c>
    </row>
    <row r="19">
      <c r="A19" s="21" t="inlineStr">
        <is>
          <t>Non inclus : CFE (~100-300 €/an, souvent exonérée la 1re année) et tes outils (Canva, etc.).</t>
        </is>
      </c>
    </row>
    <row r="25">
      <c r="A25" s="22" t="inlineStr">
        <is>
          <t>Référence régimes — taux total (cotisations + impôt libératoire + formation)</t>
        </is>
      </c>
    </row>
    <row r="26">
      <c r="A26" s="23" t="inlineStr">
        <is>
          <t>BIC — prestation de service (23 %)</t>
        </is>
      </c>
      <c r="B26" s="24" t="n">
        <v>0.23</v>
      </c>
    </row>
    <row r="27">
      <c r="A27" s="23" t="inlineStr">
        <is>
          <t>BNC 2025 — libéral (27 %)</t>
        </is>
      </c>
      <c r="B27" s="24" t="n">
        <v>0.27</v>
      </c>
    </row>
    <row r="28">
      <c r="A28" s="23" t="inlineStr">
        <is>
          <t>BNC 2026 — libéral (28,5 %)</t>
        </is>
      </c>
      <c r="B28" s="24" t="n">
        <v>0.285</v>
      </c>
    </row>
  </sheetData>
  <mergeCells count="5">
    <mergeCell ref="B5:D5"/>
    <mergeCell ref="A19:I19"/>
    <mergeCell ref="A2:I2"/>
    <mergeCell ref="A1:I1"/>
    <mergeCell ref="A18:I18"/>
  </mergeCells>
  <dataValidations count="1">
    <dataValidation sqref="B5" showDropDown="0" showInputMessage="0" showErrorMessage="0" allowBlank="0" type="list">
      <formula1>=$A$26:$A$28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2026-06-01T17:05:04Z</dcterms:created>
  <dcterms:modified xsi:type="dcterms:W3CDTF">2026-06-01T17:05:04Z</dcterms:modified>
</cp:coreProperties>
</file>